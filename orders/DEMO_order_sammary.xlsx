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ピボット テーブル 1" sheetId="1" r:id="rId5"/>
    <sheet state="visible" name="連結テーブル" sheetId="2" r:id="rId6"/>
    <sheet state="visible" name="T_オーダー" sheetId="3" r:id="rId7"/>
    <sheet state="visible" name="M_得意先マスタ" sheetId="4" r:id="rId8"/>
    <sheet state="visible" name="M_商品マスタ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<sst xmlns="http://schemas.openxmlformats.org/spreadsheetml/2006/main" count="171" uniqueCount="74">
  <si>
    <t>金額 の SUM</t>
  </si>
  <si>
    <t>商品カテゴリ</t>
  </si>
  <si>
    <t>受注日 - 年-月</t>
  </si>
  <si>
    <t>得意先エリア</t>
  </si>
  <si>
    <t>AAA</t>
  </si>
  <si>
    <t>BBB</t>
  </si>
  <si>
    <t>CCC</t>
  </si>
  <si>
    <t>DDD</t>
  </si>
  <si>
    <t>総計</t>
  </si>
  <si>
    <t>2026-1月</t>
  </si>
  <si>
    <t>EAST</t>
  </si>
  <si>
    <t>NORTH</t>
  </si>
  <si>
    <t>SOUTH</t>
  </si>
  <si>
    <t>WEST</t>
  </si>
  <si>
    <t>2026-1月 の合計</t>
  </si>
  <si>
    <t>2026-2月</t>
  </si>
  <si>
    <t>2026-2月 の合計</t>
  </si>
  <si>
    <t>2026-3月</t>
  </si>
  <si>
    <t>2026-3月 の合計</t>
  </si>
  <si>
    <t>2026-4月</t>
  </si>
  <si>
    <t>2026-4月 の合計</t>
  </si>
  <si>
    <t>得意先名</t>
  </si>
  <si>
    <t>商品名</t>
  </si>
  <si>
    <t>商品単価</t>
  </si>
  <si>
    <t>金額</t>
  </si>
  <si>
    <t>ID</t>
  </si>
  <si>
    <t>受注日</t>
  </si>
  <si>
    <t>得意先コード</t>
  </si>
  <si>
    <t>商品コード</t>
  </si>
  <si>
    <t>数量</t>
  </si>
  <si>
    <t>A000005</t>
  </si>
  <si>
    <t>AAA00010</t>
  </si>
  <si>
    <t>A000010</t>
  </si>
  <si>
    <t>AAA00005</t>
  </si>
  <si>
    <t>A000007</t>
  </si>
  <si>
    <t>A000001</t>
  </si>
  <si>
    <t>AAA00001</t>
  </si>
  <si>
    <t>A000003</t>
  </si>
  <si>
    <t>AAA00002</t>
  </si>
  <si>
    <t>A000009</t>
  </si>
  <si>
    <t>AAA00004</t>
  </si>
  <si>
    <t>A000002</t>
  </si>
  <si>
    <t>AAA00003</t>
  </si>
  <si>
    <t>AAA00008</t>
  </si>
  <si>
    <t>AAA00009</t>
  </si>
  <si>
    <t>A000008</t>
  </si>
  <si>
    <t>A000004</t>
  </si>
  <si>
    <t>AAA00006</t>
  </si>
  <si>
    <t>A000011</t>
  </si>
  <si>
    <t>AAA00007</t>
  </si>
  <si>
    <t>CUST_001</t>
  </si>
  <si>
    <t>CUST_002</t>
  </si>
  <si>
    <t>CUST_003</t>
  </si>
  <si>
    <t>CUST_004</t>
  </si>
  <si>
    <t>CUST_005</t>
  </si>
  <si>
    <t>A000006</t>
  </si>
  <si>
    <t>CUST_006</t>
  </si>
  <si>
    <t>CUST_007</t>
  </si>
  <si>
    <t>CUST_008</t>
  </si>
  <si>
    <t>CUST_009</t>
  </si>
  <si>
    <t>CUST_010</t>
  </si>
  <si>
    <t>CUST_011</t>
  </si>
  <si>
    <t>PROD_A</t>
  </si>
  <si>
    <t>PROD_B</t>
  </si>
  <si>
    <t>PROD_C</t>
  </si>
  <si>
    <t>PROD_D</t>
  </si>
  <si>
    <t>PROD_E</t>
  </si>
  <si>
    <t>PROD_F</t>
  </si>
  <si>
    <t>PROD_G</t>
  </si>
  <si>
    <t>PROD_H</t>
  </si>
  <si>
    <t>PROD_I</t>
  </si>
  <si>
    <t>PROD_J</t>
  </si>
  <si>
    <t>AAA00011</t>
  </si>
  <si>
    <t>PROD_K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</si>
</sst>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0" sheet="連結テーブル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</sharedItems>
    </cacheField>
    <cacheField name="受注日" numFmtId="164">
      <sharedItems containsSemiMixedTypes="0" containsDate="1" containsString="0">
        <d v="2026-01-01T00:00:00Z"/>
        <d v="2026-01-02T00:00:00Z"/>
        <d v="2026-01-04T00:00:00Z"/>
        <d v="2026-01-05T00:00:00Z"/>
        <d v="2026-01-09T00:00:00Z"/>
        <d v="2026-01-11T00:00:00Z"/>
        <d v="2026-01-12T00:00:00Z"/>
        <d v="2026-01-16T00:00:00Z"/>
        <d v="2026-01-21T00:00:00Z"/>
        <d v="2026-01-22T00:00:00Z"/>
        <d v="2026-01-26T00:00:00Z"/>
        <d v="2026-01-31T00:00:00Z"/>
        <d v="2026-02-01T00:00:00Z"/>
        <d v="2026-02-05T00:00:00Z"/>
        <d v="2026-02-09T00:00:00Z"/>
        <d v="2026-02-14T00:00:00Z"/>
        <d v="2026-02-17T00:00:00Z"/>
        <d v="2026-02-22T00:00:00Z"/>
        <d v="2026-02-26T00:00:00Z"/>
        <d v="2026-03-03T00:00:00Z"/>
        <d v="2026-03-06T00:00:00Z"/>
        <d v="2026-03-09T00:00:00Z"/>
        <d v="2026-03-11T00:00:00Z"/>
        <d v="2026-03-12T00:00:00Z"/>
        <d v="2026-03-17T00:00:00Z"/>
        <d v="2026-03-19T00:00:00Z"/>
        <d v="2026-03-24T00:00:00Z"/>
        <d v="2026-03-29T00:00:00Z"/>
        <d v="2026-04-03T00:00:00Z"/>
      </sharedItems>
    </cacheField>
    <cacheField name="得意先コード" numFmtId="0">
      <sharedItems>
        <s v="A000005"/>
        <s v="A000010"/>
        <s v="A000007"/>
        <s v="A000001"/>
        <s v="A000003"/>
        <s v="A000009"/>
        <s v="A000002"/>
        <s v="A000008"/>
        <s v="A000004"/>
        <s v="A000011"/>
      </sharedItems>
    </cacheField>
    <cacheField name="得意先エリア" numFmtId="0">
      <sharedItems>
        <s v="WEST"/>
        <s v="SOUTH"/>
        <s v="NORTH"/>
        <s v="EAST"/>
      </sharedItems>
    </cacheField>
    <cacheField name="得意先名" numFmtId="0">
      <sharedItems>
        <s v="CUST_005"/>
        <s v="CUST_010"/>
        <s v="CUST_007"/>
        <s v="CUST_001"/>
        <s v="CUST_003"/>
        <s v="CUST_009"/>
        <s v="CUST_002"/>
        <s v="CUST_008"/>
        <s v="CUST_004"/>
        <s v="CUST_011"/>
      </sharedItems>
    </cacheField>
    <cacheField name="商品コード" numFmtId="0">
      <sharedItems>
        <s v="AAA00010"/>
        <s v="AAA00005"/>
        <s v="AAA00001"/>
        <s v="AAA00002"/>
        <s v="AAA00004"/>
        <s v="AAA00003"/>
        <s v="AAA00008"/>
        <s v="AAA00009"/>
        <s v="AAA00006"/>
        <s v="AAA00007"/>
      </sharedItems>
    </cacheField>
    <cacheField name="商品カテゴリ" numFmtId="0">
      <sharedItems>
        <s v="CCC"/>
        <s v="AAA"/>
        <s v="BBB"/>
        <s v="DDD"/>
      </sharedItems>
    </cacheField>
    <cacheField name="商品名" numFmtId="0">
      <sharedItems>
        <s v="PROD_J"/>
        <s v="PROD_E"/>
        <s v="PROD_A"/>
        <s v="PROD_B"/>
        <s v="PROD_D"/>
        <s v="PROD_C"/>
        <s v="PROD_H"/>
        <s v="PROD_I"/>
        <s v="PROD_F"/>
        <s v="PROD_G"/>
      </sharedItems>
    </cacheField>
    <cacheField name="商品単価" numFmtId="0">
      <sharedItems containsSemiMixedTypes="0" containsString="0" containsNumber="1" containsInteger="1">
        <n v="100000.0"/>
        <n v="98.0"/>
        <n v="100.0"/>
        <n v="5000.0"/>
        <n v="350000.0"/>
        <n v="1000.0"/>
        <n v="3407.0"/>
        <n v="4500.0"/>
        <n v="120.0"/>
        <n v="101.0"/>
      </sharedItems>
    </cacheField>
    <cacheField name="数量" numFmtId="0">
      <sharedItems containsSemiMixedTypes="0" containsString="0" containsNumber="1" containsInteger="1">
        <n v="30.0"/>
        <n v="440.0"/>
        <n v="720.0"/>
        <n v="80.0"/>
        <n v="270.0"/>
        <n v="310.0"/>
        <n v="450.0"/>
        <n v="930.0"/>
        <n v="710.0"/>
        <n v="10.0"/>
        <n v="300.0"/>
        <n v="530.0"/>
        <n v="210.0"/>
        <n v="590.0"/>
        <n v="350.0"/>
        <n v="630.0"/>
        <n v="280.0"/>
        <n v="320.0"/>
        <n v="840.0"/>
        <n v="200.0"/>
        <n v="40.0"/>
        <n v="780.0"/>
        <n v="970.0"/>
        <n v="190.0"/>
        <n v="990.0"/>
        <n v="160.0"/>
      </sharedItems>
    </cacheField>
    <cacheField name="金額" numFmtId="0">
      <sharedItems containsSemiMixedTypes="0" containsString="0" containsNumber="1" containsInteger="1">
        <n v="3000000.0"/>
        <n v="43120.0"/>
        <n v="7.2E7"/>
        <n v="8000.0"/>
        <n v="1350000.0"/>
        <n v="1.085E8"/>
        <n v="450000.0"/>
        <n v="91140.0"/>
        <n v="2.485E8"/>
        <n v="1000.0"/>
        <n v="1022100.0"/>
        <n v="53000.0"/>
        <n v="945000.0"/>
        <n v="2655000.0"/>
        <n v="1750000.0"/>
        <n v="75600.0"/>
        <n v="280000.0"/>
        <n v="1090240.0"/>
        <n v="4200000.0"/>
        <n v="20000.0"/>
        <n v="1.12E8"/>
        <n v="4040.0"/>
        <n v="2.73E8"/>
        <n v="3304790.0"/>
        <n v="1.9E7"/>
        <n v="118800.0"/>
        <n v="1.6E7"/>
        <n v="1400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ピボット テーブル 1" cacheId="0" dataCaption="" compact="0" compactData="0">
  <location ref="A1:G18" firstHeaderRow="0" firstDataRow="2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受注日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得意先コー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得意先エリア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得意先名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商品コード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商品カテゴリ" axis="axisCol" compact="0" outline="0" multipleItemSelectionAllowed="1" showAll="0" sortType="ascending">
      <items>
        <item x="1"/>
        <item x="2"/>
        <item x="0"/>
        <item x="3"/>
        <item t="default"/>
      </items>
    </pivotField>
    <pivotField name="商品名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商品単価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数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金額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1"/>
    <field x="3"/>
  </rowFields>
  <colFields>
    <field x="6"/>
  </colFields>
  <dataFields>
    <dataField name="SUM of 金額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'T_オーダー'!A1</f>
        <v>ID</v>
      </c>
      <c r="B1" s="1" t="str">
        <f>'T_オーダー'!B1</f>
        <v>受注日</v>
      </c>
      <c r="C1" s="1" t="str">
        <f>'T_オーダー'!C1</f>
        <v>得意先コード</v>
      </c>
      <c r="D1" s="3" t="s">
        <v>3</v>
      </c>
      <c r="E1" s="3" t="s">
        <v>21</v>
      </c>
      <c r="F1" s="1" t="str">
        <f>'T_オーダー'!D1</f>
        <v>商品コード</v>
      </c>
      <c r="G1" s="3" t="s">
        <v>1</v>
      </c>
      <c r="H1" s="3" t="s">
        <v>22</v>
      </c>
      <c r="I1" s="3" t="s">
        <v>23</v>
      </c>
      <c r="J1" s="1" t="str">
        <f>'T_オーダー'!E1</f>
        <v>数量</v>
      </c>
      <c r="K1" s="3" t="s">
        <v>24</v>
      </c>
    </row>
    <row r="2">
      <c r="A2" s="1">
        <f>'T_オーダー'!A2</f>
        <v>1</v>
      </c>
      <c r="B2" s="4">
        <f>'T_オーダー'!B2</f>
        <v>46023</v>
      </c>
      <c r="C2" s="1" t="str">
        <f>'T_オーダー'!C2</f>
        <v>A000005</v>
      </c>
      <c r="D2" s="1" t="str">
        <f t="array" ref="D2">XLOOKUP($C2,'M_得意先マスタ'!$A:$A,'M_得意先マスタ'!$C:$C)</f>
        <v>WEST</v>
      </c>
      <c r="E2" s="1" t="str">
        <f t="array" ref="E2">XLOOKUP($C2,'M_得意先マスタ'!$A:$A,'M_得意先マスタ'!$B:$B)</f>
        <v>CUST_005</v>
      </c>
      <c r="F2" s="1" t="str">
        <f>'T_オーダー'!D2</f>
        <v>AAA00010</v>
      </c>
      <c r="G2" s="1" t="str">
        <f t="array" ref="G2">XLOOKUP($F2,'M_商品マスタ'!$A:$A,'M_商品マスタ'!$C:$C)</f>
        <v>CCC</v>
      </c>
      <c r="H2" s="1" t="str">
        <f t="array" ref="H2">XLOOKUP($F2,'M_商品マスタ'!$A:$A,'M_商品マスタ'!$B:$B)</f>
        <v>PROD_J</v>
      </c>
      <c r="I2" s="1">
        <f t="array" ref="I2">XLOOKUP($F2,'M_商品マスタ'!$A:$A,'M_商品マスタ'!$D:$D)</f>
        <v>100000</v>
      </c>
      <c r="J2" s="1">
        <f>'T_オーダー'!E2</f>
        <v>30</v>
      </c>
      <c r="K2" s="1">
        <f t="shared" ref="K2:K30" si="1">I2*J2</f>
        <v>3000000</v>
      </c>
    </row>
    <row r="3">
      <c r="A3" s="1">
        <f>'T_オーダー'!A3</f>
        <v>2</v>
      </c>
      <c r="B3" s="4">
        <f>'T_オーダー'!B3</f>
        <v>46024</v>
      </c>
      <c r="C3" s="1" t="str">
        <f>'T_オーダー'!C3</f>
        <v>A000010</v>
      </c>
      <c r="D3" s="1" t="str">
        <f t="array" ref="D3">XLOOKUP($C3,'M_得意先マスタ'!$A:$A,'M_得意先マスタ'!$C:$C)</f>
        <v>SOUTH</v>
      </c>
      <c r="E3" s="1" t="str">
        <f t="array" ref="E3">XLOOKUP($C3,'M_得意先マスタ'!$A:$A,'M_得意先マスタ'!$B:$B)</f>
        <v>CUST_010</v>
      </c>
      <c r="F3" s="1" t="str">
        <f>'T_オーダー'!D3</f>
        <v>AAA00005</v>
      </c>
      <c r="G3" s="1" t="str">
        <f t="array" ref="G3">XLOOKUP($F3,'M_商品マスタ'!$A:$A,'M_商品マスタ'!$C:$C)</f>
        <v>AAA</v>
      </c>
      <c r="H3" s="1" t="str">
        <f t="array" ref="H3">XLOOKUP($F3,'M_商品マスタ'!$A:$A,'M_商品マスタ'!$B:$B)</f>
        <v>PROD_E</v>
      </c>
      <c r="I3" s="1">
        <f t="array" ref="I3">XLOOKUP($F3,'M_商品マスタ'!$A:$A,'M_商品マスタ'!$D:$D)</f>
        <v>98</v>
      </c>
      <c r="J3" s="1">
        <f>'T_オーダー'!E3</f>
        <v>440</v>
      </c>
      <c r="K3" s="1">
        <f t="shared" si="1"/>
        <v>43120</v>
      </c>
    </row>
    <row r="4">
      <c r="A4" s="1">
        <f>'T_オーダー'!A4</f>
        <v>3</v>
      </c>
      <c r="B4" s="4">
        <f>'T_オーダー'!B4</f>
        <v>46026</v>
      </c>
      <c r="C4" s="1" t="str">
        <f>'T_オーダー'!C4</f>
        <v>A000007</v>
      </c>
      <c r="D4" s="1" t="str">
        <f t="array" ref="D4">XLOOKUP($C4,'M_得意先マスタ'!$A:$A,'M_得意先マスタ'!$C:$C)</f>
        <v>NORTH</v>
      </c>
      <c r="E4" s="1" t="str">
        <f t="array" ref="E4">XLOOKUP($C4,'M_得意先マスタ'!$A:$A,'M_得意先マスタ'!$B:$B)</f>
        <v>CUST_007</v>
      </c>
      <c r="F4" s="1" t="str">
        <f>'T_オーダー'!D4</f>
        <v>AAA00010</v>
      </c>
      <c r="G4" s="1" t="str">
        <f t="array" ref="G4">XLOOKUP($F4,'M_商品マスタ'!$A:$A,'M_商品マスタ'!$C:$C)</f>
        <v>CCC</v>
      </c>
      <c r="H4" s="1" t="str">
        <f t="array" ref="H4">XLOOKUP($F4,'M_商品マスタ'!$A:$A,'M_商品マスタ'!$B:$B)</f>
        <v>PROD_J</v>
      </c>
      <c r="I4" s="1">
        <f t="array" ref="I4">XLOOKUP($F4,'M_商品マスタ'!$A:$A,'M_商品マスタ'!$D:$D)</f>
        <v>100000</v>
      </c>
      <c r="J4" s="1">
        <f>'T_オーダー'!E4</f>
        <v>720</v>
      </c>
      <c r="K4" s="1">
        <f t="shared" si="1"/>
        <v>72000000</v>
      </c>
    </row>
    <row r="5">
      <c r="A5" s="1">
        <f>'T_オーダー'!A5</f>
        <v>4</v>
      </c>
      <c r="B5" s="4">
        <f>'T_オーダー'!B5</f>
        <v>46027</v>
      </c>
      <c r="C5" s="1" t="str">
        <f>'T_オーダー'!C5</f>
        <v>A000001</v>
      </c>
      <c r="D5" s="1" t="str">
        <f t="array" ref="D5">XLOOKUP($C5,'M_得意先マスタ'!$A:$A,'M_得意先マスタ'!$C:$C)</f>
        <v>EAST</v>
      </c>
      <c r="E5" s="1" t="str">
        <f t="array" ref="E5">XLOOKUP($C5,'M_得意先マスタ'!$A:$A,'M_得意先マスタ'!$B:$B)</f>
        <v>CUST_001</v>
      </c>
      <c r="F5" s="1" t="str">
        <f>'T_オーダー'!D5</f>
        <v>AAA00001</v>
      </c>
      <c r="G5" s="1" t="str">
        <f t="array" ref="G5">XLOOKUP($F5,'M_商品マスタ'!$A:$A,'M_商品マスタ'!$C:$C)</f>
        <v>AAA</v>
      </c>
      <c r="H5" s="1" t="str">
        <f t="array" ref="H5">XLOOKUP($F5,'M_商品マスタ'!$A:$A,'M_商品マスタ'!$B:$B)</f>
        <v>PROD_A</v>
      </c>
      <c r="I5" s="1">
        <f t="array" ref="I5">XLOOKUP($F5,'M_商品マスタ'!$A:$A,'M_商品マスタ'!$D:$D)</f>
        <v>100</v>
      </c>
      <c r="J5" s="1">
        <f>'T_オーダー'!E5</f>
        <v>80</v>
      </c>
      <c r="K5" s="1">
        <f t="shared" si="1"/>
        <v>8000</v>
      </c>
    </row>
    <row r="6">
      <c r="A6" s="1">
        <f>'T_オーダー'!A6</f>
        <v>5</v>
      </c>
      <c r="B6" s="4">
        <f>'T_オーダー'!B6</f>
        <v>46031</v>
      </c>
      <c r="C6" s="1" t="str">
        <f>'T_オーダー'!C6</f>
        <v>A000003</v>
      </c>
      <c r="D6" s="1" t="str">
        <f t="array" ref="D6">XLOOKUP($C6,'M_得意先マスタ'!$A:$A,'M_得意先マスタ'!$C:$C)</f>
        <v>EAST</v>
      </c>
      <c r="E6" s="1" t="str">
        <f t="array" ref="E6">XLOOKUP($C6,'M_得意先マスタ'!$A:$A,'M_得意先マスタ'!$B:$B)</f>
        <v>CUST_003</v>
      </c>
      <c r="F6" s="1" t="str">
        <f>'T_オーダー'!D6</f>
        <v>AAA00002</v>
      </c>
      <c r="G6" s="1" t="str">
        <f t="array" ref="G6">XLOOKUP($F6,'M_商品マスタ'!$A:$A,'M_商品マスタ'!$C:$C)</f>
        <v>BBB</v>
      </c>
      <c r="H6" s="1" t="str">
        <f t="array" ref="H6">XLOOKUP($F6,'M_商品マスタ'!$A:$A,'M_商品マスタ'!$B:$B)</f>
        <v>PROD_B</v>
      </c>
      <c r="I6" s="1">
        <f t="array" ref="I6">XLOOKUP($F6,'M_商品マスタ'!$A:$A,'M_商品マスタ'!$D:$D)</f>
        <v>5000</v>
      </c>
      <c r="J6" s="1">
        <f>'T_オーダー'!E6</f>
        <v>270</v>
      </c>
      <c r="K6" s="1">
        <f t="shared" si="1"/>
        <v>1350000</v>
      </c>
    </row>
    <row r="7">
      <c r="A7" s="1">
        <f>'T_オーダー'!A7</f>
        <v>6</v>
      </c>
      <c r="B7" s="4">
        <f>'T_オーダー'!B7</f>
        <v>46033</v>
      </c>
      <c r="C7" s="1" t="str">
        <f>'T_オーダー'!C7</f>
        <v>A000009</v>
      </c>
      <c r="D7" s="1" t="str">
        <f t="array" ref="D7">XLOOKUP($C7,'M_得意先マスタ'!$A:$A,'M_得意先マスタ'!$C:$C)</f>
        <v>SOUTH</v>
      </c>
      <c r="E7" s="1" t="str">
        <f t="array" ref="E7">XLOOKUP($C7,'M_得意先マスタ'!$A:$A,'M_得意先マスタ'!$B:$B)</f>
        <v>CUST_009</v>
      </c>
      <c r="F7" s="1" t="str">
        <f>'T_オーダー'!D7</f>
        <v>AAA00004</v>
      </c>
      <c r="G7" s="1" t="str">
        <f t="array" ref="G7">XLOOKUP($F7,'M_商品マスタ'!$A:$A,'M_商品マスタ'!$C:$C)</f>
        <v>CCC</v>
      </c>
      <c r="H7" s="1" t="str">
        <f t="array" ref="H7">XLOOKUP($F7,'M_商品マスタ'!$A:$A,'M_商品マスタ'!$B:$B)</f>
        <v>PROD_D</v>
      </c>
      <c r="I7" s="1">
        <f t="array" ref="I7">XLOOKUP($F7,'M_商品マスタ'!$A:$A,'M_商品マスタ'!$D:$D)</f>
        <v>350000</v>
      </c>
      <c r="J7" s="1">
        <f>'T_オーダー'!E7</f>
        <v>310</v>
      </c>
      <c r="K7" s="1">
        <f t="shared" si="1"/>
        <v>108500000</v>
      </c>
    </row>
    <row r="8">
      <c r="A8" s="1">
        <f>'T_オーダー'!A8</f>
        <v>7</v>
      </c>
      <c r="B8" s="4">
        <f>'T_オーダー'!B8</f>
        <v>46034</v>
      </c>
      <c r="C8" s="1" t="str">
        <f>'T_オーダー'!C8</f>
        <v>A000002</v>
      </c>
      <c r="D8" s="1" t="str">
        <f t="array" ref="D8">XLOOKUP($C8,'M_得意先マスタ'!$A:$A,'M_得意先マスタ'!$C:$C)</f>
        <v>EAST</v>
      </c>
      <c r="E8" s="1" t="str">
        <f t="array" ref="E8">XLOOKUP($C8,'M_得意先マスタ'!$A:$A,'M_得意先マスタ'!$B:$B)</f>
        <v>CUST_002</v>
      </c>
      <c r="F8" s="1" t="str">
        <f>'T_オーダー'!D8</f>
        <v>AAA00003</v>
      </c>
      <c r="G8" s="1" t="str">
        <f t="array" ref="G8">XLOOKUP($F8,'M_商品マスタ'!$A:$A,'M_商品マスタ'!$C:$C)</f>
        <v>DDD</v>
      </c>
      <c r="H8" s="1" t="str">
        <f t="array" ref="H8">XLOOKUP($F8,'M_商品マスタ'!$A:$A,'M_商品マスタ'!$B:$B)</f>
        <v>PROD_C</v>
      </c>
      <c r="I8" s="1">
        <f t="array" ref="I8">XLOOKUP($F8,'M_商品マスタ'!$A:$A,'M_商品マスタ'!$D:$D)</f>
        <v>1000</v>
      </c>
      <c r="J8" s="1">
        <f>'T_オーダー'!E8</f>
        <v>450</v>
      </c>
      <c r="K8" s="1">
        <f t="shared" si="1"/>
        <v>450000</v>
      </c>
    </row>
    <row r="9">
      <c r="A9" s="1">
        <f>'T_オーダー'!A9</f>
        <v>8</v>
      </c>
      <c r="B9" s="4">
        <f>'T_オーダー'!B9</f>
        <v>46038</v>
      </c>
      <c r="C9" s="1" t="str">
        <f>'T_オーダー'!C9</f>
        <v>A000007</v>
      </c>
      <c r="D9" s="1" t="str">
        <f t="array" ref="D9">XLOOKUP($C9,'M_得意先マスタ'!$A:$A,'M_得意先マスタ'!$C:$C)</f>
        <v>NORTH</v>
      </c>
      <c r="E9" s="1" t="str">
        <f t="array" ref="E9">XLOOKUP($C9,'M_得意先マスタ'!$A:$A,'M_得意先マスタ'!$B:$B)</f>
        <v>CUST_007</v>
      </c>
      <c r="F9" s="1" t="str">
        <f>'T_オーダー'!D9</f>
        <v>AAA00005</v>
      </c>
      <c r="G9" s="1" t="str">
        <f t="array" ref="G9">XLOOKUP($F9,'M_商品マスタ'!$A:$A,'M_商品マスタ'!$C:$C)</f>
        <v>AAA</v>
      </c>
      <c r="H9" s="1" t="str">
        <f t="array" ref="H9">XLOOKUP($F9,'M_商品マスタ'!$A:$A,'M_商品マスタ'!$B:$B)</f>
        <v>PROD_E</v>
      </c>
      <c r="I9" s="1">
        <f t="array" ref="I9">XLOOKUP($F9,'M_商品マスタ'!$A:$A,'M_商品マスタ'!$D:$D)</f>
        <v>98</v>
      </c>
      <c r="J9" s="1">
        <f>'T_オーダー'!E9</f>
        <v>930</v>
      </c>
      <c r="K9" s="1">
        <f t="shared" si="1"/>
        <v>91140</v>
      </c>
    </row>
    <row r="10">
      <c r="A10" s="1">
        <f>'T_オーダー'!A10</f>
        <v>9</v>
      </c>
      <c r="B10" s="4">
        <f>'T_オーダー'!B10</f>
        <v>46043</v>
      </c>
      <c r="C10" s="1" t="str">
        <f>'T_オーダー'!C10</f>
        <v>A000007</v>
      </c>
      <c r="D10" s="1" t="str">
        <f t="array" ref="D10">XLOOKUP($C10,'M_得意先マスタ'!$A:$A,'M_得意先マスタ'!$C:$C)</f>
        <v>NORTH</v>
      </c>
      <c r="E10" s="1" t="str">
        <f t="array" ref="E10">XLOOKUP($C10,'M_得意先マスタ'!$A:$A,'M_得意先マスタ'!$B:$B)</f>
        <v>CUST_007</v>
      </c>
      <c r="F10" s="1" t="str">
        <f>'T_オーダー'!D10</f>
        <v>AAA00004</v>
      </c>
      <c r="G10" s="1" t="str">
        <f t="array" ref="G10">XLOOKUP($F10,'M_商品マスタ'!$A:$A,'M_商品マスタ'!$C:$C)</f>
        <v>CCC</v>
      </c>
      <c r="H10" s="1" t="str">
        <f t="array" ref="H10">XLOOKUP($F10,'M_商品マスタ'!$A:$A,'M_商品マスタ'!$B:$B)</f>
        <v>PROD_D</v>
      </c>
      <c r="I10" s="1">
        <f t="array" ref="I10">XLOOKUP($F10,'M_商品マスタ'!$A:$A,'M_商品マスタ'!$D:$D)</f>
        <v>350000</v>
      </c>
      <c r="J10" s="1">
        <f>'T_オーダー'!E10</f>
        <v>710</v>
      </c>
      <c r="K10" s="1">
        <f t="shared" si="1"/>
        <v>248500000</v>
      </c>
    </row>
    <row r="11">
      <c r="A11" s="1">
        <f>'T_オーダー'!A11</f>
        <v>10</v>
      </c>
      <c r="B11" s="4">
        <f>'T_オーダー'!B11</f>
        <v>46044</v>
      </c>
      <c r="C11" s="1" t="str">
        <f>'T_オーダー'!C11</f>
        <v>A000001</v>
      </c>
      <c r="D11" s="1" t="str">
        <f t="array" ref="D11">XLOOKUP($C11,'M_得意先マスタ'!$A:$A,'M_得意先マスタ'!$C:$C)</f>
        <v>EAST</v>
      </c>
      <c r="E11" s="1" t="str">
        <f t="array" ref="E11">XLOOKUP($C11,'M_得意先マスタ'!$A:$A,'M_得意先マスタ'!$B:$B)</f>
        <v>CUST_001</v>
      </c>
      <c r="F11" s="1" t="str">
        <f>'T_オーダー'!D11</f>
        <v>AAA00001</v>
      </c>
      <c r="G11" s="1" t="str">
        <f t="array" ref="G11">XLOOKUP($F11,'M_商品マスタ'!$A:$A,'M_商品マスタ'!$C:$C)</f>
        <v>AAA</v>
      </c>
      <c r="H11" s="1" t="str">
        <f t="array" ref="H11">XLOOKUP($F11,'M_商品マスタ'!$A:$A,'M_商品マスタ'!$B:$B)</f>
        <v>PROD_A</v>
      </c>
      <c r="I11" s="1">
        <f t="array" ref="I11">XLOOKUP($F11,'M_商品マスタ'!$A:$A,'M_商品マスタ'!$D:$D)</f>
        <v>100</v>
      </c>
      <c r="J11" s="1">
        <f>'T_オーダー'!E11</f>
        <v>10</v>
      </c>
      <c r="K11" s="1">
        <f t="shared" si="1"/>
        <v>1000</v>
      </c>
    </row>
    <row r="12">
      <c r="A12" s="1">
        <f>'T_オーダー'!A12</f>
        <v>11</v>
      </c>
      <c r="B12" s="4">
        <f>'T_オーダー'!B12</f>
        <v>46048</v>
      </c>
      <c r="C12" s="1" t="str">
        <f>'T_オーダー'!C12</f>
        <v>A000001</v>
      </c>
      <c r="D12" s="1" t="str">
        <f t="array" ref="D12">XLOOKUP($C12,'M_得意先マスタ'!$A:$A,'M_得意先マスタ'!$C:$C)</f>
        <v>EAST</v>
      </c>
      <c r="E12" s="1" t="str">
        <f t="array" ref="E12">XLOOKUP($C12,'M_得意先マスタ'!$A:$A,'M_得意先マスタ'!$B:$B)</f>
        <v>CUST_001</v>
      </c>
      <c r="F12" s="1" t="str">
        <f>'T_オーダー'!D12</f>
        <v>AAA00008</v>
      </c>
      <c r="G12" s="1" t="str">
        <f t="array" ref="G12">XLOOKUP($F12,'M_商品マスタ'!$A:$A,'M_商品マスタ'!$C:$C)</f>
        <v>BBB</v>
      </c>
      <c r="H12" s="1" t="str">
        <f t="array" ref="H12">XLOOKUP($F12,'M_商品マスタ'!$A:$A,'M_商品マスタ'!$B:$B)</f>
        <v>PROD_H</v>
      </c>
      <c r="I12" s="1">
        <f t="array" ref="I12">XLOOKUP($F12,'M_商品マスタ'!$A:$A,'M_商品マスタ'!$D:$D)</f>
        <v>3407</v>
      </c>
      <c r="J12" s="1">
        <f>'T_オーダー'!E12</f>
        <v>300</v>
      </c>
      <c r="K12" s="1">
        <f t="shared" si="1"/>
        <v>1022100</v>
      </c>
    </row>
    <row r="13">
      <c r="A13" s="1">
        <f>'T_オーダー'!A13</f>
        <v>12</v>
      </c>
      <c r="B13" s="4">
        <f>'T_オーダー'!B13</f>
        <v>46053</v>
      </c>
      <c r="C13" s="1" t="str">
        <f>'T_オーダー'!C13</f>
        <v>A000003</v>
      </c>
      <c r="D13" s="1" t="str">
        <f t="array" ref="D13">XLOOKUP($C13,'M_得意先マスタ'!$A:$A,'M_得意先マスタ'!$C:$C)</f>
        <v>EAST</v>
      </c>
      <c r="E13" s="1" t="str">
        <f t="array" ref="E13">XLOOKUP($C13,'M_得意先マスタ'!$A:$A,'M_得意先マスタ'!$B:$B)</f>
        <v>CUST_003</v>
      </c>
      <c r="F13" s="1" t="str">
        <f>'T_オーダー'!D13</f>
        <v>AAA00001</v>
      </c>
      <c r="G13" s="1" t="str">
        <f t="array" ref="G13">XLOOKUP($F13,'M_商品マスタ'!$A:$A,'M_商品マスタ'!$C:$C)</f>
        <v>AAA</v>
      </c>
      <c r="H13" s="1" t="str">
        <f t="array" ref="H13">XLOOKUP($F13,'M_商品マスタ'!$A:$A,'M_商品マスタ'!$B:$B)</f>
        <v>PROD_A</v>
      </c>
      <c r="I13" s="1">
        <f t="array" ref="I13">XLOOKUP($F13,'M_商品マスタ'!$A:$A,'M_商品マスタ'!$D:$D)</f>
        <v>100</v>
      </c>
      <c r="J13" s="1">
        <f>'T_オーダー'!E13</f>
        <v>530</v>
      </c>
      <c r="K13" s="1">
        <f t="shared" si="1"/>
        <v>53000</v>
      </c>
    </row>
    <row r="14">
      <c r="A14" s="1">
        <f>'T_オーダー'!A14</f>
        <v>13</v>
      </c>
      <c r="B14" s="4">
        <f>'T_オーダー'!B14</f>
        <v>46054</v>
      </c>
      <c r="C14" s="1" t="str">
        <f>'T_オーダー'!C14</f>
        <v>A000009</v>
      </c>
      <c r="D14" s="1" t="str">
        <f t="array" ref="D14">XLOOKUP($C14,'M_得意先マスタ'!$A:$A,'M_得意先マスタ'!$C:$C)</f>
        <v>SOUTH</v>
      </c>
      <c r="E14" s="1" t="str">
        <f t="array" ref="E14">XLOOKUP($C14,'M_得意先マスタ'!$A:$A,'M_得意先マスタ'!$B:$B)</f>
        <v>CUST_009</v>
      </c>
      <c r="F14" s="1" t="str">
        <f>'T_オーダー'!D14</f>
        <v>AAA00009</v>
      </c>
      <c r="G14" s="1" t="str">
        <f t="array" ref="G14">XLOOKUP($F14,'M_商品マスタ'!$A:$A,'M_商品マスタ'!$C:$C)</f>
        <v>BBB</v>
      </c>
      <c r="H14" s="1" t="str">
        <f t="array" ref="H14">XLOOKUP($F14,'M_商品マスタ'!$A:$A,'M_商品マスタ'!$B:$B)</f>
        <v>PROD_I</v>
      </c>
      <c r="I14" s="1">
        <f t="array" ref="I14">XLOOKUP($F14,'M_商品マスタ'!$A:$A,'M_商品マスタ'!$D:$D)</f>
        <v>4500</v>
      </c>
      <c r="J14" s="1">
        <f>'T_オーダー'!E14</f>
        <v>210</v>
      </c>
      <c r="K14" s="1">
        <f t="shared" si="1"/>
        <v>945000</v>
      </c>
    </row>
    <row r="15">
      <c r="A15" s="1">
        <f>'T_オーダー'!A15</f>
        <v>14</v>
      </c>
      <c r="B15" s="4">
        <f>'T_オーダー'!B15</f>
        <v>46058</v>
      </c>
      <c r="C15" s="1" t="str">
        <f>'T_オーダー'!C15</f>
        <v>A000008</v>
      </c>
      <c r="D15" s="1" t="str">
        <f t="array" ref="D15">XLOOKUP($C15,'M_得意先マスタ'!$A:$A,'M_得意先マスタ'!$C:$C)</f>
        <v>NORTH</v>
      </c>
      <c r="E15" s="1" t="str">
        <f t="array" ref="E15">XLOOKUP($C15,'M_得意先マスタ'!$A:$A,'M_得意先マスタ'!$B:$B)</f>
        <v>CUST_008</v>
      </c>
      <c r="F15" s="1" t="str">
        <f>'T_オーダー'!D15</f>
        <v>AAA00009</v>
      </c>
      <c r="G15" s="1" t="str">
        <f t="array" ref="G15">XLOOKUP($F15,'M_商品マスタ'!$A:$A,'M_商品マスタ'!$C:$C)</f>
        <v>BBB</v>
      </c>
      <c r="H15" s="1" t="str">
        <f t="array" ref="H15">XLOOKUP($F15,'M_商品マスタ'!$A:$A,'M_商品マスタ'!$B:$B)</f>
        <v>PROD_I</v>
      </c>
      <c r="I15" s="1">
        <f t="array" ref="I15">XLOOKUP($F15,'M_商品マスタ'!$A:$A,'M_商品マスタ'!$D:$D)</f>
        <v>4500</v>
      </c>
      <c r="J15" s="1">
        <f>'T_オーダー'!E15</f>
        <v>590</v>
      </c>
      <c r="K15" s="1">
        <f t="shared" si="1"/>
        <v>2655000</v>
      </c>
    </row>
    <row r="16">
      <c r="A16" s="1">
        <f>'T_オーダー'!A16</f>
        <v>15</v>
      </c>
      <c r="B16" s="4">
        <f>'T_オーダー'!B16</f>
        <v>46062</v>
      </c>
      <c r="C16" s="1" t="str">
        <f>'T_オーダー'!C16</f>
        <v>A000004</v>
      </c>
      <c r="D16" s="1" t="str">
        <f t="array" ref="D16">XLOOKUP($C16,'M_得意先マスタ'!$A:$A,'M_得意先マスタ'!$C:$C)</f>
        <v>EAST</v>
      </c>
      <c r="E16" s="1" t="str">
        <f t="array" ref="E16">XLOOKUP($C16,'M_得意先マスタ'!$A:$A,'M_得意先マスタ'!$B:$B)</f>
        <v>CUST_004</v>
      </c>
      <c r="F16" s="1" t="str">
        <f>'T_オーダー'!D16</f>
        <v>AAA00002</v>
      </c>
      <c r="G16" s="1" t="str">
        <f t="array" ref="G16">XLOOKUP($F16,'M_商品マスタ'!$A:$A,'M_商品マスタ'!$C:$C)</f>
        <v>BBB</v>
      </c>
      <c r="H16" s="1" t="str">
        <f t="array" ref="H16">XLOOKUP($F16,'M_商品マスタ'!$A:$A,'M_商品マスタ'!$B:$B)</f>
        <v>PROD_B</v>
      </c>
      <c r="I16" s="1">
        <f t="array" ref="I16">XLOOKUP($F16,'M_商品マスタ'!$A:$A,'M_商品マスタ'!$D:$D)</f>
        <v>5000</v>
      </c>
      <c r="J16" s="1">
        <f>'T_オーダー'!E16</f>
        <v>350</v>
      </c>
      <c r="K16" s="1">
        <f t="shared" si="1"/>
        <v>1750000</v>
      </c>
    </row>
    <row r="17">
      <c r="A17" s="1">
        <f>'T_オーダー'!A17</f>
        <v>16</v>
      </c>
      <c r="B17" s="4">
        <f>'T_オーダー'!B17</f>
        <v>46067</v>
      </c>
      <c r="C17" s="1" t="str">
        <f>'T_オーダー'!C17</f>
        <v>A000007</v>
      </c>
      <c r="D17" s="1" t="str">
        <f t="array" ref="D17">XLOOKUP($C17,'M_得意先マスタ'!$A:$A,'M_得意先マスタ'!$C:$C)</f>
        <v>NORTH</v>
      </c>
      <c r="E17" s="1" t="str">
        <f t="array" ref="E17">XLOOKUP($C17,'M_得意先マスタ'!$A:$A,'M_得意先マスタ'!$B:$B)</f>
        <v>CUST_007</v>
      </c>
      <c r="F17" s="1" t="str">
        <f>'T_オーダー'!D17</f>
        <v>AAA00006</v>
      </c>
      <c r="G17" s="1" t="str">
        <f t="array" ref="G17">XLOOKUP($F17,'M_商品マスタ'!$A:$A,'M_商品マスタ'!$C:$C)</f>
        <v>AAA</v>
      </c>
      <c r="H17" s="1" t="str">
        <f t="array" ref="H17">XLOOKUP($F17,'M_商品マスタ'!$A:$A,'M_商品マスタ'!$B:$B)</f>
        <v>PROD_F</v>
      </c>
      <c r="I17" s="1">
        <f t="array" ref="I17">XLOOKUP($F17,'M_商品マスタ'!$A:$A,'M_商品マスタ'!$D:$D)</f>
        <v>120</v>
      </c>
      <c r="J17" s="1">
        <f>'T_オーダー'!E17</f>
        <v>630</v>
      </c>
      <c r="K17" s="1">
        <f t="shared" si="1"/>
        <v>75600</v>
      </c>
    </row>
    <row r="18">
      <c r="A18" s="1">
        <f>'T_オーダー'!A18</f>
        <v>17</v>
      </c>
      <c r="B18" s="4">
        <f>'T_オーダー'!B18</f>
        <v>46070</v>
      </c>
      <c r="C18" s="1" t="str">
        <f>'T_オーダー'!C18</f>
        <v>A000011</v>
      </c>
      <c r="D18" s="1" t="str">
        <f t="array" ref="D18">XLOOKUP($C18,'M_得意先マスタ'!$A:$A,'M_得意先マスタ'!$C:$C)</f>
        <v>SOUTH</v>
      </c>
      <c r="E18" s="1" t="str">
        <f t="array" ref="E18">XLOOKUP($C18,'M_得意先マスタ'!$A:$A,'M_得意先マスタ'!$B:$B)</f>
        <v>CUST_011</v>
      </c>
      <c r="F18" s="1" t="str">
        <f>'T_オーダー'!D18</f>
        <v>AAA00003</v>
      </c>
      <c r="G18" s="1" t="str">
        <f t="array" ref="G18">XLOOKUP($F18,'M_商品マスタ'!$A:$A,'M_商品マスタ'!$C:$C)</f>
        <v>DDD</v>
      </c>
      <c r="H18" s="1" t="str">
        <f t="array" ref="H18">XLOOKUP($F18,'M_商品マスタ'!$A:$A,'M_商品マスタ'!$B:$B)</f>
        <v>PROD_C</v>
      </c>
      <c r="I18" s="1">
        <f t="array" ref="I18">XLOOKUP($F18,'M_商品マスタ'!$A:$A,'M_商品マスタ'!$D:$D)</f>
        <v>1000</v>
      </c>
      <c r="J18" s="1">
        <f>'T_オーダー'!E18</f>
        <v>280</v>
      </c>
      <c r="K18" s="1">
        <f t="shared" si="1"/>
        <v>280000</v>
      </c>
    </row>
    <row r="19">
      <c r="A19" s="1">
        <f>'T_オーダー'!A19</f>
        <v>18</v>
      </c>
      <c r="B19" s="4">
        <f>'T_オーダー'!B19</f>
        <v>46075</v>
      </c>
      <c r="C19" s="1" t="str">
        <f>'T_オーダー'!C19</f>
        <v>A000003</v>
      </c>
      <c r="D19" s="1" t="str">
        <f t="array" ref="D19">XLOOKUP($C19,'M_得意先マスタ'!$A:$A,'M_得意先マスタ'!$C:$C)</f>
        <v>EAST</v>
      </c>
      <c r="E19" s="1" t="str">
        <f t="array" ref="E19">XLOOKUP($C19,'M_得意先マスタ'!$A:$A,'M_得意先マスタ'!$B:$B)</f>
        <v>CUST_003</v>
      </c>
      <c r="F19" s="1" t="str">
        <f>'T_オーダー'!D19</f>
        <v>AAA00008</v>
      </c>
      <c r="G19" s="1" t="str">
        <f t="array" ref="G19">XLOOKUP($F19,'M_商品マスタ'!$A:$A,'M_商品マスタ'!$C:$C)</f>
        <v>BBB</v>
      </c>
      <c r="H19" s="1" t="str">
        <f t="array" ref="H19">XLOOKUP($F19,'M_商品マスタ'!$A:$A,'M_商品マスタ'!$B:$B)</f>
        <v>PROD_H</v>
      </c>
      <c r="I19" s="1">
        <f t="array" ref="I19">XLOOKUP($F19,'M_商品マスタ'!$A:$A,'M_商品マスタ'!$D:$D)</f>
        <v>3407</v>
      </c>
      <c r="J19" s="1">
        <f>'T_オーダー'!E19</f>
        <v>320</v>
      </c>
      <c r="K19" s="1">
        <f t="shared" si="1"/>
        <v>1090240</v>
      </c>
    </row>
    <row r="20">
      <c r="A20" s="1">
        <f>'T_オーダー'!A20</f>
        <v>19</v>
      </c>
      <c r="B20" s="4">
        <f>'T_オーダー'!B20</f>
        <v>46079</v>
      </c>
      <c r="C20" s="1" t="str">
        <f>'T_オーダー'!C20</f>
        <v>A000007</v>
      </c>
      <c r="D20" s="1" t="str">
        <f t="array" ref="D20">XLOOKUP($C20,'M_得意先マスタ'!$A:$A,'M_得意先マスタ'!$C:$C)</f>
        <v>NORTH</v>
      </c>
      <c r="E20" s="1" t="str">
        <f t="array" ref="E20">XLOOKUP($C20,'M_得意先マスタ'!$A:$A,'M_得意先マスタ'!$B:$B)</f>
        <v>CUST_007</v>
      </c>
      <c r="F20" s="1" t="str">
        <f>'T_オーダー'!D20</f>
        <v>AAA00002</v>
      </c>
      <c r="G20" s="1" t="str">
        <f t="array" ref="G20">XLOOKUP($F20,'M_商品マスタ'!$A:$A,'M_商品マスタ'!$C:$C)</f>
        <v>BBB</v>
      </c>
      <c r="H20" s="1" t="str">
        <f t="array" ref="H20">XLOOKUP($F20,'M_商品マスタ'!$A:$A,'M_商品マスタ'!$B:$B)</f>
        <v>PROD_B</v>
      </c>
      <c r="I20" s="1">
        <f t="array" ref="I20">XLOOKUP($F20,'M_商品マスタ'!$A:$A,'M_商品マスタ'!$D:$D)</f>
        <v>5000</v>
      </c>
      <c r="J20" s="1">
        <f>'T_オーダー'!E20</f>
        <v>840</v>
      </c>
      <c r="K20" s="1">
        <f t="shared" si="1"/>
        <v>4200000</v>
      </c>
    </row>
    <row r="21">
      <c r="A21" s="1">
        <f>'T_オーダー'!A21</f>
        <v>20</v>
      </c>
      <c r="B21" s="4">
        <f>'T_オーダー'!B21</f>
        <v>46084</v>
      </c>
      <c r="C21" s="1" t="str">
        <f>'T_オーダー'!C21</f>
        <v>A000008</v>
      </c>
      <c r="D21" s="1" t="str">
        <f t="array" ref="D21">XLOOKUP($C21,'M_得意先マスタ'!$A:$A,'M_得意先マスタ'!$C:$C)</f>
        <v>NORTH</v>
      </c>
      <c r="E21" s="1" t="str">
        <f t="array" ref="E21">XLOOKUP($C21,'M_得意先マスタ'!$A:$A,'M_得意先マスタ'!$B:$B)</f>
        <v>CUST_008</v>
      </c>
      <c r="F21" s="1" t="str">
        <f>'T_オーダー'!D21</f>
        <v>AAA00001</v>
      </c>
      <c r="G21" s="1" t="str">
        <f t="array" ref="G21">XLOOKUP($F21,'M_商品マスタ'!$A:$A,'M_商品マスタ'!$C:$C)</f>
        <v>AAA</v>
      </c>
      <c r="H21" s="1" t="str">
        <f t="array" ref="H21">XLOOKUP($F21,'M_商品マスタ'!$A:$A,'M_商品マスタ'!$B:$B)</f>
        <v>PROD_A</v>
      </c>
      <c r="I21" s="1">
        <f t="array" ref="I21">XLOOKUP($F21,'M_商品マスタ'!$A:$A,'M_商品マスタ'!$D:$D)</f>
        <v>100</v>
      </c>
      <c r="J21" s="1">
        <f>'T_オーダー'!E21</f>
        <v>200</v>
      </c>
      <c r="K21" s="1">
        <f t="shared" si="1"/>
        <v>20000</v>
      </c>
    </row>
    <row r="22">
      <c r="A22" s="1">
        <f>'T_オーダー'!A22</f>
        <v>21</v>
      </c>
      <c r="B22" s="4">
        <f>'T_オーダー'!B22</f>
        <v>46087</v>
      </c>
      <c r="C22" s="1" t="str">
        <f>'T_オーダー'!C22</f>
        <v>A000004</v>
      </c>
      <c r="D22" s="1" t="str">
        <f t="array" ref="D22">XLOOKUP($C22,'M_得意先マスタ'!$A:$A,'M_得意先マスタ'!$C:$C)</f>
        <v>EAST</v>
      </c>
      <c r="E22" s="1" t="str">
        <f t="array" ref="E22">XLOOKUP($C22,'M_得意先マスタ'!$A:$A,'M_得意先マスタ'!$B:$B)</f>
        <v>CUST_004</v>
      </c>
      <c r="F22" s="1" t="str">
        <f>'T_オーダー'!D22</f>
        <v>AAA00004</v>
      </c>
      <c r="G22" s="1" t="str">
        <f t="array" ref="G22">XLOOKUP($F22,'M_商品マスタ'!$A:$A,'M_商品マスタ'!$C:$C)</f>
        <v>CCC</v>
      </c>
      <c r="H22" s="1" t="str">
        <f t="array" ref="H22">XLOOKUP($F22,'M_商品マスタ'!$A:$A,'M_商品マスタ'!$B:$B)</f>
        <v>PROD_D</v>
      </c>
      <c r="I22" s="1">
        <f t="array" ref="I22">XLOOKUP($F22,'M_商品マスタ'!$A:$A,'M_商品マスタ'!$D:$D)</f>
        <v>350000</v>
      </c>
      <c r="J22" s="1">
        <f>'T_オーダー'!E22</f>
        <v>320</v>
      </c>
      <c r="K22" s="1">
        <f t="shared" si="1"/>
        <v>112000000</v>
      </c>
    </row>
    <row r="23">
      <c r="A23" s="1">
        <f>'T_オーダー'!A23</f>
        <v>22</v>
      </c>
      <c r="B23" s="4">
        <f>'T_オーダー'!B23</f>
        <v>46090</v>
      </c>
      <c r="C23" s="1" t="str">
        <f>'T_オーダー'!C23</f>
        <v>A000007</v>
      </c>
      <c r="D23" s="1" t="str">
        <f t="array" ref="D23">XLOOKUP($C23,'M_得意先マスタ'!$A:$A,'M_得意先マスタ'!$C:$C)</f>
        <v>NORTH</v>
      </c>
      <c r="E23" s="1" t="str">
        <f t="array" ref="E23">XLOOKUP($C23,'M_得意先マスタ'!$A:$A,'M_得意先マスタ'!$B:$B)</f>
        <v>CUST_007</v>
      </c>
      <c r="F23" s="1" t="str">
        <f>'T_オーダー'!D23</f>
        <v>AAA00007</v>
      </c>
      <c r="G23" s="1" t="str">
        <f t="array" ref="G23">XLOOKUP($F23,'M_商品マスタ'!$A:$A,'M_商品マスタ'!$C:$C)</f>
        <v>AAA</v>
      </c>
      <c r="H23" s="1" t="str">
        <f t="array" ref="H23">XLOOKUP($F23,'M_商品マスタ'!$A:$A,'M_商品マスタ'!$B:$B)</f>
        <v>PROD_G</v>
      </c>
      <c r="I23" s="1">
        <f t="array" ref="I23">XLOOKUP($F23,'M_商品マスタ'!$A:$A,'M_商品マスタ'!$D:$D)</f>
        <v>101</v>
      </c>
      <c r="J23" s="1">
        <f>'T_オーダー'!E23</f>
        <v>40</v>
      </c>
      <c r="K23" s="1">
        <f t="shared" si="1"/>
        <v>4040</v>
      </c>
    </row>
    <row r="24">
      <c r="A24" s="1">
        <f>'T_オーダー'!A24</f>
        <v>23</v>
      </c>
      <c r="B24" s="4">
        <f>'T_オーダー'!B24</f>
        <v>46092</v>
      </c>
      <c r="C24" s="1" t="str">
        <f>'T_オーダー'!C24</f>
        <v>A000003</v>
      </c>
      <c r="D24" s="1" t="str">
        <f t="array" ref="D24">XLOOKUP($C24,'M_得意先マスタ'!$A:$A,'M_得意先マスタ'!$C:$C)</f>
        <v>EAST</v>
      </c>
      <c r="E24" s="1" t="str">
        <f t="array" ref="E24">XLOOKUP($C24,'M_得意先マスタ'!$A:$A,'M_得意先マスタ'!$B:$B)</f>
        <v>CUST_003</v>
      </c>
      <c r="F24" s="1" t="str">
        <f>'T_オーダー'!D24</f>
        <v>AAA00004</v>
      </c>
      <c r="G24" s="1" t="str">
        <f t="array" ref="G24">XLOOKUP($F24,'M_商品マスタ'!$A:$A,'M_商品マスタ'!$C:$C)</f>
        <v>CCC</v>
      </c>
      <c r="H24" s="1" t="str">
        <f t="array" ref="H24">XLOOKUP($F24,'M_商品マスタ'!$A:$A,'M_商品マスタ'!$B:$B)</f>
        <v>PROD_D</v>
      </c>
      <c r="I24" s="1">
        <f t="array" ref="I24">XLOOKUP($F24,'M_商品マスタ'!$A:$A,'M_商品マスタ'!$D:$D)</f>
        <v>350000</v>
      </c>
      <c r="J24" s="1">
        <f>'T_オーダー'!E24</f>
        <v>780</v>
      </c>
      <c r="K24" s="1">
        <f t="shared" si="1"/>
        <v>273000000</v>
      </c>
    </row>
    <row r="25">
      <c r="A25" s="1">
        <f>'T_オーダー'!A25</f>
        <v>24</v>
      </c>
      <c r="B25" s="4">
        <f>'T_オーダー'!B25</f>
        <v>46093</v>
      </c>
      <c r="C25" s="1" t="str">
        <f>'T_オーダー'!C25</f>
        <v>A000003</v>
      </c>
      <c r="D25" s="1" t="str">
        <f t="array" ref="D25">XLOOKUP($C25,'M_得意先マスタ'!$A:$A,'M_得意先マスタ'!$C:$C)</f>
        <v>EAST</v>
      </c>
      <c r="E25" s="1" t="str">
        <f t="array" ref="E25">XLOOKUP($C25,'M_得意先マスタ'!$A:$A,'M_得意先マスタ'!$B:$B)</f>
        <v>CUST_003</v>
      </c>
      <c r="F25" s="1" t="str">
        <f>'T_オーダー'!D25</f>
        <v>AAA00008</v>
      </c>
      <c r="G25" s="1" t="str">
        <f t="array" ref="G25">XLOOKUP($F25,'M_商品マスタ'!$A:$A,'M_商品マスタ'!$C:$C)</f>
        <v>BBB</v>
      </c>
      <c r="H25" s="1" t="str">
        <f t="array" ref="H25">XLOOKUP($F25,'M_商品マスタ'!$A:$A,'M_商品マスタ'!$B:$B)</f>
        <v>PROD_H</v>
      </c>
      <c r="I25" s="1">
        <f t="array" ref="I25">XLOOKUP($F25,'M_商品マスタ'!$A:$A,'M_商品マスタ'!$D:$D)</f>
        <v>3407</v>
      </c>
      <c r="J25" s="1">
        <f>'T_オーダー'!E25</f>
        <v>970</v>
      </c>
      <c r="K25" s="1">
        <f t="shared" si="1"/>
        <v>3304790</v>
      </c>
    </row>
    <row r="26">
      <c r="A26" s="1">
        <f>'T_オーダー'!A26</f>
        <v>25</v>
      </c>
      <c r="B26" s="4">
        <f>'T_オーダー'!B26</f>
        <v>46098</v>
      </c>
      <c r="C26" s="1" t="str">
        <f>'T_オーダー'!C26</f>
        <v>A000001</v>
      </c>
      <c r="D26" s="1" t="str">
        <f t="array" ref="D26">XLOOKUP($C26,'M_得意先マスタ'!$A:$A,'M_得意先マスタ'!$C:$C)</f>
        <v>EAST</v>
      </c>
      <c r="E26" s="1" t="str">
        <f t="array" ref="E26">XLOOKUP($C26,'M_得意先マスタ'!$A:$A,'M_得意先マスタ'!$B:$B)</f>
        <v>CUST_001</v>
      </c>
      <c r="F26" s="1" t="str">
        <f>'T_オーダー'!D26</f>
        <v>AAA00010</v>
      </c>
      <c r="G26" s="1" t="str">
        <f t="array" ref="G26">XLOOKUP($F26,'M_商品マスタ'!$A:$A,'M_商品マスタ'!$C:$C)</f>
        <v>CCC</v>
      </c>
      <c r="H26" s="1" t="str">
        <f t="array" ref="H26">XLOOKUP($F26,'M_商品マスタ'!$A:$A,'M_商品マスタ'!$B:$B)</f>
        <v>PROD_J</v>
      </c>
      <c r="I26" s="1">
        <f t="array" ref="I26">XLOOKUP($F26,'M_商品マスタ'!$A:$A,'M_商品マスタ'!$D:$D)</f>
        <v>100000</v>
      </c>
      <c r="J26" s="1">
        <f>'T_オーダー'!E26</f>
        <v>190</v>
      </c>
      <c r="K26" s="1">
        <f t="shared" si="1"/>
        <v>19000000</v>
      </c>
    </row>
    <row r="27">
      <c r="A27" s="1">
        <f>'T_オーダー'!A27</f>
        <v>26</v>
      </c>
      <c r="B27" s="4">
        <f>'T_オーダー'!B27</f>
        <v>46100</v>
      </c>
      <c r="C27" s="1" t="str">
        <f>'T_オーダー'!C27</f>
        <v>A000007</v>
      </c>
      <c r="D27" s="1" t="str">
        <f t="array" ref="D27">XLOOKUP($C27,'M_得意先マスタ'!$A:$A,'M_得意先マスタ'!$C:$C)</f>
        <v>NORTH</v>
      </c>
      <c r="E27" s="1" t="str">
        <f t="array" ref="E27">XLOOKUP($C27,'M_得意先マスタ'!$A:$A,'M_得意先マスタ'!$B:$B)</f>
        <v>CUST_007</v>
      </c>
      <c r="F27" s="1" t="str">
        <f>'T_オーダー'!D27</f>
        <v>AAA00006</v>
      </c>
      <c r="G27" s="1" t="str">
        <f t="array" ref="G27">XLOOKUP($F27,'M_商品マスタ'!$A:$A,'M_商品マスタ'!$C:$C)</f>
        <v>AAA</v>
      </c>
      <c r="H27" s="1" t="str">
        <f t="array" ref="H27">XLOOKUP($F27,'M_商品マスタ'!$A:$A,'M_商品マスタ'!$B:$B)</f>
        <v>PROD_F</v>
      </c>
      <c r="I27" s="1">
        <f t="array" ref="I27">XLOOKUP($F27,'M_商品マスタ'!$A:$A,'M_商品マスタ'!$D:$D)</f>
        <v>120</v>
      </c>
      <c r="J27" s="1">
        <f>'T_オーダー'!E27</f>
        <v>990</v>
      </c>
      <c r="K27" s="1">
        <f t="shared" si="1"/>
        <v>118800</v>
      </c>
    </row>
    <row r="28">
      <c r="A28" s="1">
        <f>'T_オーダー'!A28</f>
        <v>27</v>
      </c>
      <c r="B28" s="4">
        <f>'T_オーダー'!B28</f>
        <v>46105</v>
      </c>
      <c r="C28" s="1" t="str">
        <f>'T_オーダー'!C28</f>
        <v>A000011</v>
      </c>
      <c r="D28" s="1" t="str">
        <f t="array" ref="D28">XLOOKUP($C28,'M_得意先マスタ'!$A:$A,'M_得意先マスタ'!$C:$C)</f>
        <v>SOUTH</v>
      </c>
      <c r="E28" s="1" t="str">
        <f t="array" ref="E28">XLOOKUP($C28,'M_得意先マスタ'!$A:$A,'M_得意先マスタ'!$B:$B)</f>
        <v>CUST_011</v>
      </c>
      <c r="F28" s="1" t="str">
        <f>'T_オーダー'!D28</f>
        <v>AAA00010</v>
      </c>
      <c r="G28" s="1" t="str">
        <f t="array" ref="G28">XLOOKUP($F28,'M_商品マスタ'!$A:$A,'M_商品マスタ'!$C:$C)</f>
        <v>CCC</v>
      </c>
      <c r="H28" s="1" t="str">
        <f t="array" ref="H28">XLOOKUP($F28,'M_商品マスタ'!$A:$A,'M_商品マスタ'!$B:$B)</f>
        <v>PROD_J</v>
      </c>
      <c r="I28" s="1">
        <f t="array" ref="I28">XLOOKUP($F28,'M_商品マスタ'!$A:$A,'M_商品マスタ'!$D:$D)</f>
        <v>100000</v>
      </c>
      <c r="J28" s="1">
        <f>'T_オーダー'!E28</f>
        <v>160</v>
      </c>
      <c r="K28" s="1">
        <f t="shared" si="1"/>
        <v>16000000</v>
      </c>
    </row>
    <row r="29">
      <c r="A29" s="1">
        <f>'T_オーダー'!A29</f>
        <v>28</v>
      </c>
      <c r="B29" s="4">
        <f>'T_オーダー'!B29</f>
        <v>46110</v>
      </c>
      <c r="C29" s="1" t="str">
        <f>'T_オーダー'!C29</f>
        <v>A000008</v>
      </c>
      <c r="D29" s="1" t="str">
        <f t="array" ref="D29">XLOOKUP($C29,'M_得意先マスタ'!$A:$A,'M_得意先マスタ'!$C:$C)</f>
        <v>NORTH</v>
      </c>
      <c r="E29" s="1" t="str">
        <f t="array" ref="E29">XLOOKUP($C29,'M_得意先マスタ'!$A:$A,'M_得意先マスタ'!$B:$B)</f>
        <v>CUST_008</v>
      </c>
      <c r="F29" s="1" t="str">
        <f>'T_オーダー'!D29</f>
        <v>AAA00006</v>
      </c>
      <c r="G29" s="1" t="str">
        <f t="array" ref="G29">XLOOKUP($F29,'M_商品マスタ'!$A:$A,'M_商品マスタ'!$C:$C)</f>
        <v>AAA</v>
      </c>
      <c r="H29" s="1" t="str">
        <f t="array" ref="H29">XLOOKUP($F29,'M_商品マスタ'!$A:$A,'M_商品マスタ'!$B:$B)</f>
        <v>PROD_F</v>
      </c>
      <c r="I29" s="1">
        <f t="array" ref="I29">XLOOKUP($F29,'M_商品マスタ'!$A:$A,'M_商品マスタ'!$D:$D)</f>
        <v>120</v>
      </c>
      <c r="J29" s="1">
        <f>'T_オーダー'!E29</f>
        <v>630</v>
      </c>
      <c r="K29" s="1">
        <f t="shared" si="1"/>
        <v>75600</v>
      </c>
    </row>
    <row r="30">
      <c r="A30" s="1">
        <f>'T_オーダー'!A30</f>
        <v>29</v>
      </c>
      <c r="B30" s="4">
        <f>'T_オーダー'!B30</f>
        <v>46115</v>
      </c>
      <c r="C30" s="1" t="str">
        <f>'T_オーダー'!C30</f>
        <v>A000002</v>
      </c>
      <c r="D30" s="1" t="str">
        <f t="array" ref="D30">XLOOKUP($C30,'M_得意先マスタ'!$A:$A,'M_得意先マスタ'!$C:$C)</f>
        <v>EAST</v>
      </c>
      <c r="E30" s="1" t="str">
        <f t="array" ref="E30">XLOOKUP($C30,'M_得意先マスタ'!$A:$A,'M_得意先マスタ'!$B:$B)</f>
        <v>CUST_002</v>
      </c>
      <c r="F30" s="1" t="str">
        <f>'T_オーダー'!D30</f>
        <v>AAA00002</v>
      </c>
      <c r="G30" s="1" t="str">
        <f t="array" ref="G30">XLOOKUP($F30,'M_商品マスタ'!$A:$A,'M_商品マスタ'!$C:$C)</f>
        <v>BBB</v>
      </c>
      <c r="H30" s="1" t="str">
        <f t="array" ref="H30">XLOOKUP($F30,'M_商品マスタ'!$A:$A,'M_商品マスタ'!$B:$B)</f>
        <v>PROD_B</v>
      </c>
      <c r="I30" s="1">
        <f t="array" ref="I30">XLOOKUP($F30,'M_商品マスタ'!$A:$A,'M_商品マスタ'!$D:$D)</f>
        <v>5000</v>
      </c>
      <c r="J30" s="1">
        <f>'T_オーダー'!E30</f>
        <v>280</v>
      </c>
      <c r="K30" s="1">
        <f t="shared" si="1"/>
        <v>1400000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>
      <c r="A2" s="3">
        <v>1.0</v>
      </c>
      <c r="B2" s="4">
        <v>46023.0</v>
      </c>
      <c r="C2" s="5" t="s">
        <v>30</v>
      </c>
      <c r="D2" s="5" t="s">
        <v>31</v>
      </c>
      <c r="E2" s="3">
        <v>30.0</v>
      </c>
    </row>
    <row r="3">
      <c r="A3" s="3">
        <v>2.0</v>
      </c>
      <c r="B3" s="4">
        <v>46024.0</v>
      </c>
      <c r="C3" s="5" t="s">
        <v>32</v>
      </c>
      <c r="D3" s="5" t="s">
        <v>33</v>
      </c>
      <c r="E3" s="6">
        <v>440.0</v>
      </c>
    </row>
    <row r="4">
      <c r="A4" s="3">
        <v>3.0</v>
      </c>
      <c r="B4" s="4">
        <v>46026.0</v>
      </c>
      <c r="C4" s="5" t="s">
        <v>34</v>
      </c>
      <c r="D4" s="5" t="s">
        <v>31</v>
      </c>
      <c r="E4" s="6">
        <v>720.0</v>
      </c>
    </row>
    <row r="5">
      <c r="A5" s="3">
        <v>4.0</v>
      </c>
      <c r="B5" s="4">
        <v>46027.0</v>
      </c>
      <c r="C5" s="5" t="s">
        <v>35</v>
      </c>
      <c r="D5" s="5" t="s">
        <v>36</v>
      </c>
      <c r="E5" s="6">
        <v>80.0</v>
      </c>
    </row>
    <row r="6">
      <c r="A6" s="3">
        <v>5.0</v>
      </c>
      <c r="B6" s="4">
        <v>46031.0</v>
      </c>
      <c r="C6" s="5" t="s">
        <v>37</v>
      </c>
      <c r="D6" s="5" t="s">
        <v>38</v>
      </c>
      <c r="E6" s="6">
        <v>270.0</v>
      </c>
    </row>
    <row r="7">
      <c r="A7" s="3">
        <v>6.0</v>
      </c>
      <c r="B7" s="4">
        <v>46033.0</v>
      </c>
      <c r="C7" s="5" t="s">
        <v>39</v>
      </c>
      <c r="D7" s="5" t="s">
        <v>40</v>
      </c>
      <c r="E7" s="6">
        <v>310.0</v>
      </c>
    </row>
    <row r="8">
      <c r="A8" s="3">
        <v>7.0</v>
      </c>
      <c r="B8" s="4">
        <v>46034.0</v>
      </c>
      <c r="C8" s="5" t="s">
        <v>41</v>
      </c>
      <c r="D8" s="5" t="s">
        <v>42</v>
      </c>
      <c r="E8" s="6">
        <v>450.0</v>
      </c>
    </row>
    <row r="9">
      <c r="A9" s="3">
        <v>8.0</v>
      </c>
      <c r="B9" s="4">
        <v>46038.0</v>
      </c>
      <c r="C9" s="5" t="s">
        <v>34</v>
      </c>
      <c r="D9" s="5" t="s">
        <v>33</v>
      </c>
      <c r="E9" s="6">
        <v>930.0</v>
      </c>
    </row>
    <row r="10">
      <c r="A10" s="3">
        <v>9.0</v>
      </c>
      <c r="B10" s="4">
        <v>46043.0</v>
      </c>
      <c r="C10" s="5" t="s">
        <v>34</v>
      </c>
      <c r="D10" s="5" t="s">
        <v>40</v>
      </c>
      <c r="E10" s="6">
        <v>710.0</v>
      </c>
    </row>
    <row r="11">
      <c r="A11" s="3">
        <v>10.0</v>
      </c>
      <c r="B11" s="4">
        <v>46044.0</v>
      </c>
      <c r="C11" s="5" t="s">
        <v>35</v>
      </c>
      <c r="D11" s="5" t="s">
        <v>36</v>
      </c>
      <c r="E11" s="6">
        <v>10.0</v>
      </c>
    </row>
    <row r="12">
      <c r="A12" s="3">
        <v>11.0</v>
      </c>
      <c r="B12" s="4">
        <v>46048.0</v>
      </c>
      <c r="C12" s="5" t="s">
        <v>35</v>
      </c>
      <c r="D12" s="5" t="s">
        <v>43</v>
      </c>
      <c r="E12" s="6">
        <v>300.0</v>
      </c>
    </row>
    <row r="13">
      <c r="A13" s="3">
        <v>12.0</v>
      </c>
      <c r="B13" s="4">
        <v>46053.0</v>
      </c>
      <c r="C13" s="5" t="s">
        <v>37</v>
      </c>
      <c r="D13" s="5" t="s">
        <v>36</v>
      </c>
      <c r="E13" s="6">
        <v>530.0</v>
      </c>
    </row>
    <row r="14">
      <c r="A14" s="3">
        <v>13.0</v>
      </c>
      <c r="B14" s="4">
        <v>46054.0</v>
      </c>
      <c r="C14" s="5" t="s">
        <v>39</v>
      </c>
      <c r="D14" s="5" t="s">
        <v>44</v>
      </c>
      <c r="E14" s="6">
        <v>210.0</v>
      </c>
    </row>
    <row r="15">
      <c r="A15" s="3">
        <v>14.0</v>
      </c>
      <c r="B15" s="4">
        <v>46058.0</v>
      </c>
      <c r="C15" s="5" t="s">
        <v>45</v>
      </c>
      <c r="D15" s="5" t="s">
        <v>44</v>
      </c>
      <c r="E15" s="6">
        <v>590.0</v>
      </c>
    </row>
    <row r="16">
      <c r="A16" s="3">
        <v>15.0</v>
      </c>
      <c r="B16" s="4">
        <v>46062.0</v>
      </c>
      <c r="C16" s="5" t="s">
        <v>46</v>
      </c>
      <c r="D16" s="5" t="s">
        <v>38</v>
      </c>
      <c r="E16" s="6">
        <v>350.0</v>
      </c>
    </row>
    <row r="17">
      <c r="A17" s="3">
        <v>16.0</v>
      </c>
      <c r="B17" s="4">
        <v>46067.0</v>
      </c>
      <c r="C17" s="5" t="s">
        <v>34</v>
      </c>
      <c r="D17" s="5" t="s">
        <v>47</v>
      </c>
      <c r="E17" s="6">
        <v>630.0</v>
      </c>
    </row>
    <row r="18">
      <c r="A18" s="3">
        <v>17.0</v>
      </c>
      <c r="B18" s="4">
        <v>46070.0</v>
      </c>
      <c r="C18" s="5" t="s">
        <v>48</v>
      </c>
      <c r="D18" s="5" t="s">
        <v>42</v>
      </c>
      <c r="E18" s="6">
        <v>280.0</v>
      </c>
    </row>
    <row r="19">
      <c r="A19" s="3">
        <v>18.0</v>
      </c>
      <c r="B19" s="4">
        <v>46075.0</v>
      </c>
      <c r="C19" s="5" t="s">
        <v>37</v>
      </c>
      <c r="D19" s="5" t="s">
        <v>43</v>
      </c>
      <c r="E19" s="6">
        <v>320.0</v>
      </c>
    </row>
    <row r="20">
      <c r="A20" s="3">
        <v>19.0</v>
      </c>
      <c r="B20" s="4">
        <v>46079.0</v>
      </c>
      <c r="C20" s="5" t="s">
        <v>34</v>
      </c>
      <c r="D20" s="5" t="s">
        <v>38</v>
      </c>
      <c r="E20" s="6">
        <v>840.0</v>
      </c>
    </row>
    <row r="21">
      <c r="A21" s="3">
        <v>20.0</v>
      </c>
      <c r="B21" s="4">
        <v>46084.0</v>
      </c>
      <c r="C21" s="5" t="s">
        <v>45</v>
      </c>
      <c r="D21" s="5" t="s">
        <v>36</v>
      </c>
      <c r="E21" s="6">
        <v>200.0</v>
      </c>
    </row>
    <row r="22">
      <c r="A22" s="3">
        <v>21.0</v>
      </c>
      <c r="B22" s="4">
        <v>46087.0</v>
      </c>
      <c r="C22" s="5" t="s">
        <v>46</v>
      </c>
      <c r="D22" s="5" t="s">
        <v>40</v>
      </c>
      <c r="E22" s="6">
        <v>320.0</v>
      </c>
    </row>
    <row r="23">
      <c r="A23" s="3">
        <v>22.0</v>
      </c>
      <c r="B23" s="4">
        <v>46090.0</v>
      </c>
      <c r="C23" s="5" t="s">
        <v>34</v>
      </c>
      <c r="D23" s="5" t="s">
        <v>49</v>
      </c>
      <c r="E23" s="6">
        <v>40.0</v>
      </c>
    </row>
    <row r="24">
      <c r="A24" s="3">
        <v>23.0</v>
      </c>
      <c r="B24" s="4">
        <v>46092.0</v>
      </c>
      <c r="C24" s="5" t="s">
        <v>37</v>
      </c>
      <c r="D24" s="5" t="s">
        <v>40</v>
      </c>
      <c r="E24" s="6">
        <v>780.0</v>
      </c>
    </row>
    <row r="25">
      <c r="A25" s="3">
        <v>24.0</v>
      </c>
      <c r="B25" s="4">
        <v>46093.0</v>
      </c>
      <c r="C25" s="5" t="s">
        <v>37</v>
      </c>
      <c r="D25" s="5" t="s">
        <v>43</v>
      </c>
      <c r="E25" s="6">
        <v>970.0</v>
      </c>
    </row>
    <row r="26">
      <c r="A26" s="3">
        <v>25.0</v>
      </c>
      <c r="B26" s="4">
        <v>46098.0</v>
      </c>
      <c r="C26" s="5" t="s">
        <v>35</v>
      </c>
      <c r="D26" s="5" t="s">
        <v>31</v>
      </c>
      <c r="E26" s="6">
        <v>190.0</v>
      </c>
    </row>
    <row r="27">
      <c r="A27" s="3">
        <v>26.0</v>
      </c>
      <c r="B27" s="4">
        <v>46100.0</v>
      </c>
      <c r="C27" s="5" t="s">
        <v>34</v>
      </c>
      <c r="D27" s="5" t="s">
        <v>47</v>
      </c>
      <c r="E27" s="6">
        <v>990.0</v>
      </c>
    </row>
    <row r="28">
      <c r="A28" s="3">
        <v>27.0</v>
      </c>
      <c r="B28" s="4">
        <v>46105.0</v>
      </c>
      <c r="C28" s="5" t="s">
        <v>48</v>
      </c>
      <c r="D28" s="5" t="s">
        <v>31</v>
      </c>
      <c r="E28" s="6">
        <v>160.0</v>
      </c>
    </row>
    <row r="29">
      <c r="A29" s="3">
        <v>28.0</v>
      </c>
      <c r="B29" s="4">
        <v>46110.0</v>
      </c>
      <c r="C29" s="5" t="s">
        <v>45</v>
      </c>
      <c r="D29" s="5" t="s">
        <v>47</v>
      </c>
      <c r="E29" s="6">
        <v>630.0</v>
      </c>
    </row>
    <row r="30">
      <c r="A30" s="3">
        <v>29.0</v>
      </c>
      <c r="B30" s="4">
        <v>46115.0</v>
      </c>
      <c r="C30" s="5" t="s">
        <v>41</v>
      </c>
      <c r="D30" s="5" t="s">
        <v>38</v>
      </c>
      <c r="E30" s="6">
        <v>280.0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</v>
      </c>
      <c r="B1" s="3" t="s">
        <v>21</v>
      </c>
      <c r="C1" s="3" t="s">
        <v>3</v>
      </c>
    </row>
    <row r="2">
      <c r="A2" s="3" t="s">
        <v>35</v>
      </c>
      <c r="B2" s="3" t="s">
        <v>50</v>
      </c>
      <c r="C2" s="3" t="s">
        <v>10</v>
      </c>
    </row>
    <row r="3">
      <c r="A3" s="3" t="s">
        <v>41</v>
      </c>
      <c r="B3" s="3" t="s">
        <v>51</v>
      </c>
      <c r="C3" s="3" t="s">
        <v>10</v>
      </c>
    </row>
    <row r="4">
      <c r="A4" s="3" t="s">
        <v>37</v>
      </c>
      <c r="B4" s="3" t="s">
        <v>52</v>
      </c>
      <c r="C4" s="3" t="s">
        <v>10</v>
      </c>
    </row>
    <row r="5">
      <c r="A5" s="3" t="s">
        <v>46</v>
      </c>
      <c r="B5" s="3" t="s">
        <v>53</v>
      </c>
      <c r="C5" s="3" t="s">
        <v>10</v>
      </c>
    </row>
    <row r="6">
      <c r="A6" s="3" t="s">
        <v>30</v>
      </c>
      <c r="B6" s="3" t="s">
        <v>54</v>
      </c>
      <c r="C6" s="3" t="s">
        <v>13</v>
      </c>
    </row>
    <row r="7">
      <c r="A7" s="3" t="s">
        <v>55</v>
      </c>
      <c r="B7" s="3" t="s">
        <v>56</v>
      </c>
      <c r="C7" s="3" t="s">
        <v>13</v>
      </c>
    </row>
    <row r="8">
      <c r="A8" s="3" t="s">
        <v>34</v>
      </c>
      <c r="B8" s="3" t="s">
        <v>57</v>
      </c>
      <c r="C8" s="3" t="s">
        <v>11</v>
      </c>
    </row>
    <row r="9">
      <c r="A9" s="3" t="s">
        <v>45</v>
      </c>
      <c r="B9" s="3" t="s">
        <v>58</v>
      </c>
      <c r="C9" s="3" t="s">
        <v>11</v>
      </c>
    </row>
    <row r="10">
      <c r="A10" s="3" t="s">
        <v>39</v>
      </c>
      <c r="B10" s="3" t="s">
        <v>59</v>
      </c>
      <c r="C10" s="3" t="s">
        <v>12</v>
      </c>
    </row>
    <row r="11">
      <c r="A11" s="3" t="s">
        <v>32</v>
      </c>
      <c r="B11" s="3" t="s">
        <v>60</v>
      </c>
      <c r="C11" s="3" t="s">
        <v>12</v>
      </c>
    </row>
    <row r="12">
      <c r="A12" s="3" t="s">
        <v>48</v>
      </c>
      <c r="B12" s="3" t="s">
        <v>61</v>
      </c>
      <c r="C12" s="3" t="s">
        <v>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28</v>
      </c>
      <c r="B1" s="3" t="s">
        <v>22</v>
      </c>
      <c r="C1" s="3" t="s">
        <v>1</v>
      </c>
      <c r="D1" s="3" t="s">
        <v>23</v>
      </c>
    </row>
    <row r="2">
      <c r="A2" s="7" t="s">
        <v>36</v>
      </c>
      <c r="B2" s="3" t="s">
        <v>62</v>
      </c>
      <c r="C2" s="3" t="s">
        <v>4</v>
      </c>
      <c r="D2" s="3">
        <v>100.0</v>
      </c>
    </row>
    <row r="3">
      <c r="A3" s="7" t="s">
        <v>38</v>
      </c>
      <c r="B3" s="3" t="s">
        <v>63</v>
      </c>
      <c r="C3" s="3" t="s">
        <v>5</v>
      </c>
      <c r="D3" s="3">
        <v>5000.0</v>
      </c>
    </row>
    <row r="4">
      <c r="A4" s="7" t="s">
        <v>42</v>
      </c>
      <c r="B4" s="3" t="s">
        <v>64</v>
      </c>
      <c r="C4" s="3" t="s">
        <v>7</v>
      </c>
      <c r="D4" s="3">
        <v>1000.0</v>
      </c>
    </row>
    <row r="5">
      <c r="A5" s="7" t="s">
        <v>40</v>
      </c>
      <c r="B5" s="3" t="s">
        <v>65</v>
      </c>
      <c r="C5" s="3" t="s">
        <v>6</v>
      </c>
      <c r="D5" s="3">
        <v>350000.0</v>
      </c>
    </row>
    <row r="6">
      <c r="A6" s="7" t="s">
        <v>33</v>
      </c>
      <c r="B6" s="3" t="s">
        <v>66</v>
      </c>
      <c r="C6" s="3" t="s">
        <v>4</v>
      </c>
      <c r="D6" s="3">
        <v>98.0</v>
      </c>
    </row>
    <row r="7">
      <c r="A7" s="7" t="s">
        <v>47</v>
      </c>
      <c r="B7" s="3" t="s">
        <v>67</v>
      </c>
      <c r="C7" s="3" t="s">
        <v>4</v>
      </c>
      <c r="D7" s="3">
        <v>120.0</v>
      </c>
    </row>
    <row r="8">
      <c r="A8" s="7" t="s">
        <v>49</v>
      </c>
      <c r="B8" s="3" t="s">
        <v>68</v>
      </c>
      <c r="C8" s="3" t="s">
        <v>4</v>
      </c>
      <c r="D8" s="3">
        <v>101.0</v>
      </c>
    </row>
    <row r="9">
      <c r="A9" s="7" t="s">
        <v>43</v>
      </c>
      <c r="B9" s="3" t="s">
        <v>69</v>
      </c>
      <c r="C9" s="3" t="s">
        <v>5</v>
      </c>
      <c r="D9" s="3">
        <v>3407.0</v>
      </c>
    </row>
    <row r="10">
      <c r="A10" s="7" t="s">
        <v>44</v>
      </c>
      <c r="B10" s="3" t="s">
        <v>70</v>
      </c>
      <c r="C10" s="3" t="s">
        <v>5</v>
      </c>
      <c r="D10" s="3">
        <v>4500.0</v>
      </c>
    </row>
    <row r="11">
      <c r="A11" s="7" t="s">
        <v>31</v>
      </c>
      <c r="B11" s="3" t="s">
        <v>71</v>
      </c>
      <c r="C11" s="3" t="s">
        <v>6</v>
      </c>
      <c r="D11" s="3">
        <v>100000.0</v>
      </c>
    </row>
    <row r="12">
      <c r="A12" s="7" t="s">
        <v>72</v>
      </c>
      <c r="B12" s="3" t="s">
        <v>73</v>
      </c>
      <c r="C12" s="3" t="s">
        <v>6</v>
      </c>
      <c r="D12" s="3">
        <v>400000.0</v>
      </c>
    </row>
  </sheetData>
  <drawing r:id="rId1"/>
</worksheet>
</file>